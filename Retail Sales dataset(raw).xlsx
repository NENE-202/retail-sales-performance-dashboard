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FRONT OFFICE\Documents\"/>
    </mc:Choice>
  </mc:AlternateContent>
  <bookViews>
    <workbookView xWindow="0" yWindow="0" windowWidth="19200" windowHeight="11595"/>
  </bookViews>
  <sheets>
    <sheet name="PIVOT-TABLE" sheetId="6" r:id="rId1"/>
    <sheet name="DASHBOARD" sheetId="9" r:id="rId2"/>
    <sheet name="DATASET" sheetId="1" r:id="rId3"/>
  </sheets>
  <definedNames>
    <definedName name="Slicer_Category">#N/A</definedName>
    <definedName name="Slicer_MONTH">#N/A</definedName>
    <definedName name="Slicer_Product">#N/A</definedName>
    <definedName name="Slicer_Region">#N/A</definedName>
  </definedNames>
  <calcPr calcId="152511"/>
  <pivotCaches>
    <pivotCache cacheId="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alcChain>
</file>

<file path=xl/sharedStrings.xml><?xml version="1.0" encoding="utf-8"?>
<sst xmlns="http://schemas.openxmlformats.org/spreadsheetml/2006/main" count="104" uniqueCount="34">
  <si>
    <t>Order_ID</t>
  </si>
  <si>
    <t>Order_Date</t>
  </si>
  <si>
    <t>Region</t>
  </si>
  <si>
    <t>Sales_Rep</t>
  </si>
  <si>
    <t>Product</t>
  </si>
  <si>
    <t>Category</t>
  </si>
  <si>
    <t>Units_Sold</t>
  </si>
  <si>
    <t>Unit_Price</t>
  </si>
  <si>
    <t>Revenue</t>
  </si>
  <si>
    <t>Cost</t>
  </si>
  <si>
    <t>Profit</t>
  </si>
  <si>
    <t>West</t>
  </si>
  <si>
    <t>Ade</t>
  </si>
  <si>
    <t>Printer</t>
  </si>
  <si>
    <t>Electronics</t>
  </si>
  <si>
    <t>North</t>
  </si>
  <si>
    <t>Chidi</t>
  </si>
  <si>
    <t>Desk</t>
  </si>
  <si>
    <t>Furniture</t>
  </si>
  <si>
    <t>South</t>
  </si>
  <si>
    <t>Dami</t>
  </si>
  <si>
    <t>Chair</t>
  </si>
  <si>
    <t>Monitor</t>
  </si>
  <si>
    <t>East</t>
  </si>
  <si>
    <t>Bola</t>
  </si>
  <si>
    <t>Laptop</t>
  </si>
  <si>
    <t>Sum of Revenue</t>
  </si>
  <si>
    <t>Row Labels</t>
  </si>
  <si>
    <t>Grand Total</t>
  </si>
  <si>
    <t>Sum of Profit</t>
  </si>
  <si>
    <t>MONTH</t>
  </si>
  <si>
    <t>Sep</t>
  </si>
  <si>
    <t>Oct</t>
  </si>
  <si>
    <t>Sum of Units_Sold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</si>
</sst>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5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9" formatCode="m/d/yyyy"/>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9" formatCode="m/d/yyyy"/>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Sales Project (Github).xlsx]PIVOT-TABLE!PivotTable5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sz="1400" b="1">
                <a:solidFill>
                  <a:schemeClr val="tx1">
                    <a:lumMod val="85000"/>
                    <a:lumOff val="15000"/>
                  </a:schemeClr>
                </a:solidFill>
              </a:rPr>
              <a:t>Revenue</a:t>
            </a:r>
            <a:r>
              <a:rPr lang="en-US" sz="1400" b="1" baseline="0">
                <a:solidFill>
                  <a:schemeClr val="tx1">
                    <a:lumMod val="85000"/>
                    <a:lumOff val="15000"/>
                  </a:schemeClr>
                </a:solidFill>
              </a:rPr>
              <a:t> By Region</a:t>
            </a:r>
            <a:endParaRPr lang="en-US" sz="1400" b="1">
              <a:solidFill>
                <a:schemeClr val="tx1">
                  <a:lumMod val="85000"/>
                  <a:lumOff val="15000"/>
                </a:schemeClr>
              </a:solidFill>
            </a:endParaRPr>
          </a:p>
        </c:rich>
      </c:tx>
      <c:layout>
        <c:manualLayout>
          <c:xMode val="edge"/>
          <c:yMode val="edge"/>
          <c:x val="0.33069491313585803"/>
          <c:y val="4.41463414634146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l">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84947714868975"/>
          <c:y val="0.21260770757313871"/>
          <c:w val="0.6046477523642878"/>
          <c:h val="0.585110428269637"/>
        </c:manualLayout>
      </c:layout>
      <c:bar3DChart>
        <c:barDir val="col"/>
        <c:grouping val="standard"/>
        <c:varyColors val="0"/>
        <c:ser>
          <c:idx val="0"/>
          <c:order val="0"/>
          <c:tx>
            <c:strRef>
              <c:f>'PIVOT-TABLE'!$B$3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l">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'PIVOT-TABLE'!$A$4:$A$8</c:f>
              <c:strCache>
                <c:ptCount val="4"/>
                <c:pt idx="0">
                  <c:v>East</c:v>
                </c:pt>
                <c:pt idx="1">
                  <c:v>North</c:v>
                </c:pt>
                <c:pt idx="2">
                  <c:v>South</c:v>
                </c:pt>
                <c:pt idx="3">
                  <c:v>West</c:v>
                </c:pt>
              </c:strCache>
            </c:strRef>
          </c:cat>
          <c:val>
            <c:numRef>
              <c:f>'PIVOT-TABLE'!$B$4:$B$8</c:f>
              <c:numCache>
                <c:formatCode>"$"#,##0</c:formatCode>
                <c:ptCount val="4"/>
                <c:pt idx="0">
                  <c:v>1840</c:v>
                </c:pt>
                <c:pt idx="1">
                  <c:v>2600</c:v>
                </c:pt>
                <c:pt idx="2">
                  <c:v>2410</c:v>
                </c:pt>
                <c:pt idx="3">
                  <c:v>2780</c:v>
                </c:pt>
              </c:numCache>
            </c:numRef>
          </c:val>
        </c:ser>
        <c:dLbls>
          <c:showLegendKey val="0"/>
          <c:showVal val="0"/>
          <c:showCatName val="0"/>
          <c:showSerName val="0"/>
          <c:showPercent val="0"/>
          <c:showBubbleSize val="0"/>
        </c:dLbls>
        <c:gapWidth val="150"/>
        <c:shape val="box"/>
        <c:axId val="153269392"/>
        <c:axId val="153270568"/>
        <c:axId val="379683616"/>
      </c:bar3DChart>
      <c:catAx>
        <c:axId val="15326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mn-lt"/>
                <a:ea typeface="+mn-ea"/>
                <a:cs typeface="+mn-cs"/>
              </a:defRPr>
            </a:pPr>
            <a:endParaRPr lang="en-US"/>
          </a:p>
        </c:txPr>
        <c:crossAx val="153270568"/>
        <c:crosses val="autoZero"/>
        <c:auto val="1"/>
        <c:lblAlgn val="ctr"/>
        <c:lblOffset val="100"/>
        <c:noMultiLvlLbl val="0"/>
      </c:catAx>
      <c:valAx>
        <c:axId val="1532705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crossAx val="153269392"/>
        <c:crosses val="autoZero"/>
        <c:crossBetween val="between"/>
      </c:valAx>
      <c:serAx>
        <c:axId val="379683616"/>
        <c:scaling>
          <c:orientation val="minMax"/>
        </c:scaling>
        <c:delete val="1"/>
        <c:axPos val="b"/>
        <c:majorTickMark val="none"/>
        <c:minorTickMark val="none"/>
        <c:tickLblPos val="nextTo"/>
        <c:crossAx val="153270568"/>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Sales Project (Github).xlsx]PIVOT-TABLE!PivotTable1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r>
              <a:rPr lang="en-US" sz="1600" b="1">
                <a:solidFill>
                  <a:schemeClr val="tx1">
                    <a:lumMod val="85000"/>
                    <a:lumOff val="15000"/>
                  </a:schemeClr>
                </a:solidFill>
              </a:rPr>
              <a:t>Monthly  Revenue </a:t>
            </a:r>
            <a:r>
              <a:rPr lang="en-US" sz="1600" b="1" baseline="0">
                <a:solidFill>
                  <a:schemeClr val="tx1">
                    <a:lumMod val="85000"/>
                    <a:lumOff val="15000"/>
                  </a:schemeClr>
                </a:solidFill>
              </a:rPr>
              <a:t> Trend (Sep-Oct)</a:t>
            </a:r>
            <a:endParaRPr lang="en-US" sz="1600" b="1">
              <a:solidFill>
                <a:schemeClr val="tx1">
                  <a:lumMod val="85000"/>
                  <a:lumOff val="15000"/>
                </a:schemeClr>
              </a:solidFill>
            </a:endParaRPr>
          </a:p>
        </c:rich>
      </c:tx>
      <c:layout>
        <c:manualLayout>
          <c:xMode val="edge"/>
          <c:yMode val="edge"/>
          <c:x val="0.2603764592187483"/>
          <c:y val="3.876916286365105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2"/>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502340332458444"/>
          <c:y val="0.21796114027413241"/>
          <c:w val="0.65492060367454064"/>
          <c:h val="0.54937153689122198"/>
        </c:manualLayout>
      </c:layout>
      <c:lineChart>
        <c:grouping val="standard"/>
        <c:varyColors val="0"/>
        <c:ser>
          <c:idx val="0"/>
          <c:order val="0"/>
          <c:tx>
            <c:strRef>
              <c:f>'PIVOT-TABLE'!$B$24</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'PIVOT-TABLE'!$A$25:$A$27</c:f>
              <c:strCache>
                <c:ptCount val="2"/>
                <c:pt idx="0">
                  <c:v>Sep</c:v>
                </c:pt>
                <c:pt idx="1">
                  <c:v>Oct</c:v>
                </c:pt>
              </c:strCache>
            </c:strRef>
          </c:cat>
          <c:val>
            <c:numRef>
              <c:f>'PIVOT-TABLE'!$B$25:$B$27</c:f>
              <c:numCache>
                <c:formatCode>"$"#,##0</c:formatCode>
                <c:ptCount val="2"/>
                <c:pt idx="0">
                  <c:v>1950</c:v>
                </c:pt>
                <c:pt idx="1">
                  <c:v>7680</c:v>
                </c:pt>
              </c:numCache>
            </c:numRef>
          </c:val>
          <c:smooth val="0"/>
        </c:ser>
        <c:dLbls>
          <c:showLegendKey val="0"/>
          <c:showVal val="0"/>
          <c:showCatName val="0"/>
          <c:showSerName val="0"/>
          <c:showPercent val="0"/>
          <c:showBubbleSize val="0"/>
        </c:dLbls>
        <c:smooth val="0"/>
        <c:axId val="244850280"/>
        <c:axId val="244853808"/>
      </c:lineChart>
      <c:catAx>
        <c:axId val="244850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244853808"/>
        <c:crosses val="autoZero"/>
        <c:auto val="1"/>
        <c:lblAlgn val="ctr"/>
        <c:lblOffset val="100"/>
        <c:noMultiLvlLbl val="0"/>
      </c:catAx>
      <c:valAx>
        <c:axId val="24485380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en-US"/>
          </a:p>
        </c:txPr>
        <c:crossAx val="244850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Sales Project (Github).xlsx]PIVOT-TABLE!PivotTable6</c:name>
    <c:fmtId val="6"/>
  </c:pivotSource>
  <c:chart>
    <c:title>
      <c:tx>
        <c:rich>
          <a:bodyPr rot="0" spcFirstLastPara="1" vertOverflow="ellipsis" vert="horz" wrap="square" anchor="ctr" anchorCtr="1"/>
          <a:lstStyle/>
          <a:p>
            <a:pPr algn="l">
              <a:defRPr sz="1600" b="1" i="0" u="none" strike="noStrike" kern="1200" spc="0" baseline="0">
                <a:solidFill>
                  <a:schemeClr val="tx1"/>
                </a:solidFill>
                <a:latin typeface="+mn-lt"/>
                <a:ea typeface="+mn-ea"/>
                <a:cs typeface="+mn-cs"/>
              </a:defRPr>
            </a:pPr>
            <a:r>
              <a:rPr lang="en-US" sz="1600" b="1">
                <a:solidFill>
                  <a:schemeClr val="tx1"/>
                </a:solidFill>
                <a:latin typeface="+mn-lt"/>
                <a:ea typeface="Segoe UI Black" panose="020B0A02040204020203" pitchFamily="34" charset="0"/>
              </a:rPr>
              <a:t>Profit By Product</a:t>
            </a:r>
          </a:p>
        </c:rich>
      </c:tx>
      <c:layout>
        <c:manualLayout>
          <c:xMode val="edge"/>
          <c:yMode val="edge"/>
          <c:x val="0.31704855643044622"/>
          <c:y val="2.6757072032662588E-2"/>
        </c:manualLayout>
      </c:layout>
      <c:overlay val="0"/>
      <c:spPr>
        <a:solidFill>
          <a:schemeClr val="bg1">
            <a:lumMod val="85000"/>
          </a:schemeClr>
        </a:solidFill>
        <a:ln>
          <a:noFill/>
        </a:ln>
        <a:effectLst/>
      </c:spPr>
      <c:txPr>
        <a:bodyPr rot="0" spcFirstLastPara="1" vertOverflow="ellipsis" vert="horz" wrap="square" anchor="ctr" anchorCtr="1"/>
        <a:lstStyle/>
        <a:p>
          <a:pPr algn="l">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solidFill>
          <a:ln>
            <a:noFill/>
          </a:ln>
          <a:effectLst/>
          <a:sp3d/>
        </c:spPr>
        <c:dLbl>
          <c:idx val="0"/>
          <c:layout>
            <c:manualLayout>
              <c:x val="1.07256560860603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8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'PIVOT-TABLE'!$B$14</c:f>
              <c:strCache>
                <c:ptCount val="1"/>
                <c:pt idx="0">
                  <c:v>Total</c:v>
                </c:pt>
              </c:strCache>
            </c:strRef>
          </c:tx>
          <c:spPr>
            <a:solidFill>
              <a:schemeClr val="accent2"/>
            </a:solidFill>
            <a:ln>
              <a:noFill/>
            </a:ln>
            <a:effectLst/>
            <a:sp3d/>
          </c:spPr>
          <c:invertIfNegative val="0"/>
          <c:dLbls>
            <c:dLbl>
              <c:idx val="4"/>
              <c:layout>
                <c:manualLayout>
                  <c:x val="1.07256560860603E-2"/>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'PIVOT-TABLE'!$A$15:$A$20</c:f>
              <c:strCache>
                <c:ptCount val="5"/>
                <c:pt idx="0">
                  <c:v>Chair</c:v>
                </c:pt>
                <c:pt idx="1">
                  <c:v>Desk</c:v>
                </c:pt>
                <c:pt idx="2">
                  <c:v>Laptop</c:v>
                </c:pt>
                <c:pt idx="3">
                  <c:v>Monitor</c:v>
                </c:pt>
                <c:pt idx="4">
                  <c:v>Printer</c:v>
                </c:pt>
              </c:strCache>
            </c:strRef>
          </c:cat>
          <c:val>
            <c:numRef>
              <c:f>'PIVOT-TABLE'!$B$15:$B$20</c:f>
              <c:numCache>
                <c:formatCode>"$"#,##0</c:formatCode>
                <c:ptCount val="5"/>
                <c:pt idx="0">
                  <c:v>450</c:v>
                </c:pt>
                <c:pt idx="1">
                  <c:v>550</c:v>
                </c:pt>
                <c:pt idx="2">
                  <c:v>450</c:v>
                </c:pt>
                <c:pt idx="3">
                  <c:v>600</c:v>
                </c:pt>
                <c:pt idx="4">
                  <c:v>581</c:v>
                </c:pt>
              </c:numCache>
            </c:numRef>
          </c:val>
        </c:ser>
        <c:dLbls>
          <c:showLegendKey val="0"/>
          <c:showVal val="0"/>
          <c:showCatName val="0"/>
          <c:showSerName val="0"/>
          <c:showPercent val="0"/>
          <c:showBubbleSize val="0"/>
        </c:dLbls>
        <c:gapWidth val="150"/>
        <c:shape val="box"/>
        <c:axId val="244852632"/>
        <c:axId val="244853024"/>
        <c:axId val="0"/>
      </c:bar3DChart>
      <c:catAx>
        <c:axId val="244852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mn-lt"/>
                <a:ea typeface="Segoe UI Black" panose="020B0A02040204020203" pitchFamily="34" charset="0"/>
                <a:cs typeface="+mn-cs"/>
              </a:defRPr>
            </a:pPr>
            <a:endParaRPr lang="en-US"/>
          </a:p>
        </c:txPr>
        <c:crossAx val="244853024"/>
        <c:crosses val="autoZero"/>
        <c:auto val="1"/>
        <c:lblAlgn val="ctr"/>
        <c:lblOffset val="100"/>
        <c:noMultiLvlLbl val="0"/>
      </c:catAx>
      <c:valAx>
        <c:axId val="24485302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mn-lt"/>
                <a:ea typeface="+mn-ea"/>
                <a:cs typeface="+mn-cs"/>
              </a:defRPr>
            </a:pPr>
            <a:endParaRPr lang="en-US"/>
          </a:p>
        </c:txPr>
        <c:crossAx val="244852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Sales Project (Github).xlsx]PIVOT-TABLE!PivotTable3</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600" b="1" baseline="0">
                <a:solidFill>
                  <a:schemeClr val="tx1"/>
                </a:solidFill>
              </a:rPr>
              <a:t>Units Sold By Category   </a:t>
            </a:r>
            <a:endParaRPr lang="en-US" sz="1600" b="1">
              <a:solidFill>
                <a:schemeClr val="tx1"/>
              </a:solidFill>
            </a:endParaRPr>
          </a:p>
        </c:rich>
      </c:tx>
      <c:layout>
        <c:manualLayout>
          <c:xMode val="edge"/>
          <c:yMode val="edge"/>
          <c:x val="0.31504855643044621"/>
          <c:y val="3.0232006952308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mn-lt"/>
                    <a:ea typeface="+mn-ea"/>
                    <a:cs typeface="+mn-cs"/>
                  </a:defRPr>
                </a:pPr>
                <a:fld id="{DA35EA92-431F-4E65-A2D0-8BE7E333B258}" type="VALUE">
                  <a:rPr lang="en-US"/>
                  <a:pPr>
                    <a:defRPr sz="1800" b="1">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manualLayout>
          <c:layoutTarget val="inner"/>
          <c:xMode val="edge"/>
          <c:yMode val="edge"/>
          <c:x val="0.16217388451443571"/>
          <c:y val="0.22304690174597741"/>
          <c:w val="0.48356386701662291"/>
          <c:h val="0.77628981995979596"/>
        </c:manualLayout>
      </c:layout>
      <c:doughnutChart>
        <c:varyColors val="1"/>
        <c:ser>
          <c:idx val="0"/>
          <c:order val="0"/>
          <c:tx>
            <c:strRef>
              <c:f>'PIVOT-TABLE'!$G$5</c:f>
              <c:strCache>
                <c:ptCount val="1"/>
                <c:pt idx="0">
                  <c:v>Total</c:v>
                </c:pt>
              </c:strCache>
            </c:strRef>
          </c:tx>
          <c:explosion val="2"/>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1"/>
              <c:layout/>
              <c:tx>
                <c:rich>
                  <a:bodyPr/>
                  <a:lstStyle/>
                  <a:p>
                    <a:fld id="{DA35EA92-431F-4E65-A2D0-8BE7E333B258}"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'PIVOT-TABLE'!$F$6:$F$8</c:f>
              <c:strCache>
                <c:ptCount val="2"/>
                <c:pt idx="0">
                  <c:v>Electronics</c:v>
                </c:pt>
                <c:pt idx="1">
                  <c:v>Furniture</c:v>
                </c:pt>
              </c:strCache>
            </c:strRef>
          </c:cat>
          <c:val>
            <c:numRef>
              <c:f>'PIVOT-TABLE'!$G$6:$G$8</c:f>
              <c:numCache>
                <c:formatCode>General</c:formatCode>
                <c:ptCount val="2"/>
                <c:pt idx="0">
                  <c:v>27</c:v>
                </c:pt>
                <c:pt idx="1">
                  <c:v>44</c:v>
                </c:pt>
              </c:numCache>
            </c:numRef>
          </c:val>
        </c:ser>
        <c:dLbls>
          <c:showLegendKey val="0"/>
          <c:showVal val="1"/>
          <c:showCatName val="0"/>
          <c:showSerName val="0"/>
          <c:showPercent val="0"/>
          <c:showBubbleSize val="0"/>
          <c:showLeaderLines val="1"/>
        </c:dLbls>
        <c:firstSliceAng val="30"/>
        <c:holeSize val="40"/>
      </c:doughnutChart>
      <c:spPr>
        <a:noFill/>
        <a:ln>
          <a:noFill/>
        </a:ln>
        <a:effectLst/>
      </c:spPr>
    </c:plotArea>
    <c:legend>
      <c:legendPos val="r"/>
      <c:layout>
        <c:manualLayout>
          <c:xMode val="edge"/>
          <c:yMode val="edge"/>
          <c:x val="0.78013385826771653"/>
          <c:y val="0.48570721301977721"/>
          <c:w val="0.20319947506561681"/>
          <c:h val="0.2242129934427092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152400</xdr:rowOff>
    </xdr:from>
    <xdr:to>
      <xdr:col>7</xdr:col>
      <xdr:colOff>533400</xdr:colOff>
      <xdr:row>46</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581025</xdr:colOff>
      <xdr:row>29</xdr:row>
      <xdr:rowOff>142874</xdr:rowOff>
    </xdr:from>
    <xdr:to>
      <xdr:col>15</xdr:col>
      <xdr:colOff>276225</xdr:colOff>
      <xdr:row>46</xdr:row>
      <xdr:rowOff>76199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14</xdr:row>
      <xdr:rowOff>38100</xdr:rowOff>
    </xdr:from>
    <xdr:to>
      <xdr:col>7</xdr:col>
      <xdr:colOff>495300</xdr:colOff>
      <xdr:row>29</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552450</xdr:colOff>
      <xdr:row>14</xdr:row>
      <xdr:rowOff>85725</xdr:rowOff>
    </xdr:from>
    <xdr:to>
      <xdr:col>15</xdr:col>
      <xdr:colOff>247650</xdr:colOff>
      <xdr:row>29</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28575</xdr:colOff>
      <xdr:row>0</xdr:row>
      <xdr:rowOff>0</xdr:rowOff>
    </xdr:from>
    <xdr:to>
      <xdr:col>5</xdr:col>
      <xdr:colOff>57149</xdr:colOff>
      <xdr:row>13</xdr:row>
      <xdr:rowOff>180974</xdr:rowOff>
    </xdr:to>
    <xdr:sp macro="" textlink="">
      <xdr:nvSpPr>
        <xdr:cNvPr id="7" name="Flowchart: Manual Input 6"/>
        <xdr:cNvSpPr/>
      </xdr:nvSpPr>
      <xdr:spPr>
        <a:xfrm>
          <a:off x="28575" y="0"/>
          <a:ext cx="3076574" cy="2657474"/>
        </a:xfrm>
        <a:prstGeom prst="flowChartManualInput">
          <a:avLst/>
        </a:prstGeom>
        <a:ln>
          <a:noFill/>
        </a:ln>
        <a:effectLst>
          <a:outerShdw blurRad="50800" dist="38100" algn="l" rotWithShape="0">
            <a:prstClr val="black">
              <a:alpha val="40000"/>
            </a:prstClr>
          </a:outerShdw>
          <a:softEdge rad="12700"/>
        </a:effectLst>
        <a:scene3d>
          <a:camera prst="orthographicFront">
            <a:rot lat="0" lon="0" rev="0"/>
          </a:camera>
          <a:lightRig rig="soft" dir="t">
            <a:rot lat="0" lon="0" rev="0"/>
          </a:lightRig>
        </a:scene3d>
        <a:sp3d contourW="44450" prstMaterial="matte">
          <a:bevelT w="63500" h="63500"/>
          <a:contourClr>
            <a:srgbClr val="FFFFFF"/>
          </a:contourClr>
        </a:sp3d>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lvl="0" algn="ctr"/>
          <a:r>
            <a:rPr lang="en-US" sz="3200" b="1" cap="none" spc="0">
              <a:ln w="9525">
                <a:solidFill>
                  <a:schemeClr val="accent2">
                    <a:lumMod val="20000"/>
                    <a:lumOff val="80000"/>
                  </a:schemeClr>
                </a:solidFill>
                <a:prstDash val="solid"/>
              </a:ln>
              <a:solidFill>
                <a:schemeClr val="tx1"/>
              </a:solidFill>
              <a:effectLst>
                <a:outerShdw blurRad="12700" dist="38100" dir="2700000" algn="tl" rotWithShape="0">
                  <a:schemeClr val="bg1">
                    <a:lumMod val="50000"/>
                  </a:schemeClr>
                </a:outerShdw>
              </a:effectLst>
              <a:latin typeface="Segoe UI Black" panose="020B0A02040204020203" pitchFamily="34" charset="0"/>
              <a:ea typeface="Segoe UI Black" panose="020B0A02040204020203" pitchFamily="34" charset="0"/>
            </a:rPr>
            <a:t>Retail</a:t>
          </a:r>
          <a:r>
            <a:rPr lang="en-US" sz="3200" b="1" cap="none" spc="0" baseline="0">
              <a:ln w="9525">
                <a:solidFill>
                  <a:schemeClr val="accent2">
                    <a:lumMod val="20000"/>
                    <a:lumOff val="80000"/>
                  </a:schemeClr>
                </a:solidFill>
                <a:prstDash val="solid"/>
              </a:ln>
              <a:solidFill>
                <a:schemeClr val="tx1"/>
              </a:solidFill>
              <a:effectLst>
                <a:outerShdw blurRad="12700" dist="38100" dir="2700000" algn="tl" rotWithShape="0">
                  <a:schemeClr val="bg1">
                    <a:lumMod val="50000"/>
                  </a:schemeClr>
                </a:outerShdw>
              </a:effectLst>
              <a:latin typeface="Segoe UI Black" panose="020B0A02040204020203" pitchFamily="34" charset="0"/>
              <a:ea typeface="Segoe UI Black" panose="020B0A02040204020203" pitchFamily="34" charset="0"/>
            </a:rPr>
            <a:t> Sales Performance </a:t>
          </a:r>
        </a:p>
        <a:p>
          <a:pPr lvl="0" algn="ctr"/>
          <a:r>
            <a:rPr lang="en-US" sz="3200" b="1" cap="none" spc="0" baseline="0">
              <a:ln w="9525">
                <a:solidFill>
                  <a:schemeClr val="accent2">
                    <a:lumMod val="20000"/>
                    <a:lumOff val="80000"/>
                  </a:schemeClr>
                </a:solidFill>
                <a:prstDash val="solid"/>
              </a:ln>
              <a:solidFill>
                <a:schemeClr val="tx1"/>
              </a:solidFill>
              <a:effectLst>
                <a:outerShdw blurRad="12700" dist="38100" dir="2700000" algn="tl" rotWithShape="0">
                  <a:schemeClr val="bg1">
                    <a:lumMod val="50000"/>
                  </a:schemeClr>
                </a:outerShdw>
              </a:effectLst>
              <a:latin typeface="Segoe UI Black" panose="020B0A02040204020203" pitchFamily="34" charset="0"/>
              <a:ea typeface="Segoe UI Black" panose="020B0A02040204020203" pitchFamily="34" charset="0"/>
            </a:rPr>
            <a:t>Dashboard </a:t>
          </a:r>
          <a:endParaRPr lang="en-US" sz="3200" b="1" cap="none" spc="0">
            <a:ln w="9525">
              <a:solidFill>
                <a:schemeClr val="accent2">
                  <a:lumMod val="20000"/>
                  <a:lumOff val="80000"/>
                </a:schemeClr>
              </a:solidFill>
              <a:prstDash val="solid"/>
            </a:ln>
            <a:solidFill>
              <a:schemeClr val="tx1"/>
            </a:solidFill>
            <a:effectLst>
              <a:outerShdw blurRad="12700" dist="38100" dir="2700000" algn="tl" rotWithShape="0">
                <a:schemeClr val="bg1">
                  <a:lumMod val="50000"/>
                </a:schemeClr>
              </a:outerShdw>
            </a:effectLst>
            <a:latin typeface="Segoe UI Black" panose="020B0A02040204020203" pitchFamily="34" charset="0"/>
            <a:ea typeface="Segoe UI Black" panose="020B0A02040204020203" pitchFamily="34" charset="0"/>
          </a:endParaRPr>
        </a:p>
      </xdr:txBody>
    </xdr:sp>
    <xdr:clientData/>
  </xdr:twoCellAnchor>
  <xdr:twoCellAnchor>
    <xdr:from>
      <xdr:col>9</xdr:col>
      <xdr:colOff>257174</xdr:colOff>
      <xdr:row>0</xdr:row>
      <xdr:rowOff>95250</xdr:rowOff>
    </xdr:from>
    <xdr:to>
      <xdr:col>12</xdr:col>
      <xdr:colOff>142875</xdr:colOff>
      <xdr:row>6</xdr:row>
      <xdr:rowOff>171450</xdr:rowOff>
    </xdr:to>
    <xdr:sp macro="" textlink="">
      <xdr:nvSpPr>
        <xdr:cNvPr id="9" name="Flowchart: Alternate Process 8"/>
        <xdr:cNvSpPr/>
      </xdr:nvSpPr>
      <xdr:spPr>
        <a:xfrm>
          <a:off x="5743574" y="95250"/>
          <a:ext cx="1714501" cy="1219200"/>
        </a:xfrm>
        <a:prstGeom prst="flowChartAlternateProcess">
          <a:avLst/>
        </a:prstGeom>
        <a:solidFill>
          <a:schemeClr val="bg1">
            <a:lumMod val="85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400" b="1">
              <a:solidFill>
                <a:schemeClr val="tx1"/>
              </a:solidFill>
            </a:rPr>
            <a:t>TOTAL REVENUE</a:t>
          </a:r>
        </a:p>
        <a:p>
          <a:pPr algn="l"/>
          <a:r>
            <a:rPr lang="en-US" sz="2800" b="1">
              <a:solidFill>
                <a:schemeClr val="tx1"/>
              </a:solidFill>
            </a:rPr>
            <a:t>$9,630</a:t>
          </a:r>
        </a:p>
      </xdr:txBody>
    </xdr:sp>
    <xdr:clientData/>
  </xdr:twoCellAnchor>
  <xdr:twoCellAnchor>
    <xdr:from>
      <xdr:col>9</xdr:col>
      <xdr:colOff>238127</xdr:colOff>
      <xdr:row>7</xdr:row>
      <xdr:rowOff>66676</xdr:rowOff>
    </xdr:from>
    <xdr:to>
      <xdr:col>12</xdr:col>
      <xdr:colOff>152401</xdr:colOff>
      <xdr:row>14</xdr:row>
      <xdr:rowOff>9525</xdr:rowOff>
    </xdr:to>
    <xdr:sp macro="" textlink="">
      <xdr:nvSpPr>
        <xdr:cNvPr id="11" name="Flowchart: Alternate Process 10"/>
        <xdr:cNvSpPr/>
      </xdr:nvSpPr>
      <xdr:spPr>
        <a:xfrm>
          <a:off x="5724527" y="1400176"/>
          <a:ext cx="1743074" cy="1276349"/>
        </a:xfrm>
        <a:prstGeom prst="flowChartAlternateProcess">
          <a:avLst/>
        </a:prstGeom>
        <a:solidFill>
          <a:schemeClr val="bg1">
            <a:lumMod val="85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400" b="1">
              <a:solidFill>
                <a:schemeClr val="tx1"/>
              </a:solidFill>
            </a:rPr>
            <a:t>TOTAL</a:t>
          </a:r>
          <a:r>
            <a:rPr lang="en-US" sz="1400" b="1" baseline="0">
              <a:solidFill>
                <a:schemeClr val="tx1"/>
              </a:solidFill>
            </a:rPr>
            <a:t> PROFIT</a:t>
          </a:r>
          <a:endParaRPr lang="en-US" sz="1400" b="1">
            <a:solidFill>
              <a:schemeClr val="tx1"/>
            </a:solidFill>
          </a:endParaRPr>
        </a:p>
        <a:p>
          <a:pPr algn="l"/>
          <a:r>
            <a:rPr lang="en-US" sz="2800" b="1">
              <a:solidFill>
                <a:schemeClr val="tx1"/>
              </a:solidFill>
            </a:rPr>
            <a:t>$2,631</a:t>
          </a:r>
        </a:p>
      </xdr:txBody>
    </xdr:sp>
    <xdr:clientData/>
  </xdr:twoCellAnchor>
  <xdr:twoCellAnchor>
    <xdr:from>
      <xdr:col>12</xdr:col>
      <xdr:colOff>209550</xdr:colOff>
      <xdr:row>0</xdr:row>
      <xdr:rowOff>85725</xdr:rowOff>
    </xdr:from>
    <xdr:to>
      <xdr:col>15</xdr:col>
      <xdr:colOff>114300</xdr:colOff>
      <xdr:row>7</xdr:row>
      <xdr:rowOff>9525</xdr:rowOff>
    </xdr:to>
    <xdr:sp macro="" textlink="">
      <xdr:nvSpPr>
        <xdr:cNvPr id="12" name="Flowchart: Alternate Process 11"/>
        <xdr:cNvSpPr/>
      </xdr:nvSpPr>
      <xdr:spPr>
        <a:xfrm>
          <a:off x="7524750" y="85725"/>
          <a:ext cx="1733550" cy="1257300"/>
        </a:xfrm>
        <a:prstGeom prst="flowChartAlternateProcess">
          <a:avLst/>
        </a:prstGeom>
        <a:solidFill>
          <a:schemeClr val="bg1">
            <a:lumMod val="85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400" b="1">
              <a:solidFill>
                <a:schemeClr val="tx1"/>
              </a:solidFill>
            </a:rPr>
            <a:t>TOTAL UNITS</a:t>
          </a:r>
          <a:r>
            <a:rPr lang="en-US" sz="1400" b="1" baseline="0">
              <a:solidFill>
                <a:schemeClr val="tx1"/>
              </a:solidFill>
            </a:rPr>
            <a:t> SOLD</a:t>
          </a:r>
          <a:endParaRPr lang="en-US" sz="1400" b="1">
            <a:solidFill>
              <a:schemeClr val="tx1"/>
            </a:solidFill>
          </a:endParaRPr>
        </a:p>
        <a:p>
          <a:pPr algn="ctr"/>
          <a:r>
            <a:rPr lang="en-US" sz="2800" b="1">
              <a:solidFill>
                <a:schemeClr val="tx1"/>
              </a:solidFill>
            </a:rPr>
            <a:t>71</a:t>
          </a:r>
        </a:p>
      </xdr:txBody>
    </xdr:sp>
    <xdr:clientData/>
  </xdr:twoCellAnchor>
  <xdr:twoCellAnchor>
    <xdr:from>
      <xdr:col>12</xdr:col>
      <xdr:colOff>209550</xdr:colOff>
      <xdr:row>7</xdr:row>
      <xdr:rowOff>76200</xdr:rowOff>
    </xdr:from>
    <xdr:to>
      <xdr:col>15</xdr:col>
      <xdr:colOff>123825</xdr:colOff>
      <xdr:row>14</xdr:row>
      <xdr:rowOff>28575</xdr:rowOff>
    </xdr:to>
    <xdr:sp macro="" textlink="">
      <xdr:nvSpPr>
        <xdr:cNvPr id="13" name="Flowchart: Alternate Process 12"/>
        <xdr:cNvSpPr/>
      </xdr:nvSpPr>
      <xdr:spPr>
        <a:xfrm>
          <a:off x="7524750" y="1409700"/>
          <a:ext cx="1743075" cy="1285875"/>
        </a:xfrm>
        <a:prstGeom prst="flowChartAlternateProcess">
          <a:avLst/>
        </a:prstGeom>
        <a:solidFill>
          <a:schemeClr val="bg1">
            <a:lumMod val="85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400" b="1">
              <a:solidFill>
                <a:schemeClr val="tx1"/>
              </a:solidFill>
            </a:rPr>
            <a:t>TOTAL REVENUE</a:t>
          </a:r>
          <a:r>
            <a:rPr lang="en-US" sz="1400" b="1" baseline="0">
              <a:solidFill>
                <a:schemeClr val="tx1"/>
              </a:solidFill>
            </a:rPr>
            <a:t> PER ORDER </a:t>
          </a:r>
          <a:r>
            <a:rPr lang="en-US" sz="2800" b="1">
              <a:solidFill>
                <a:schemeClr val="tx1"/>
              </a:solidFill>
            </a:rPr>
            <a:t>$642</a:t>
          </a:r>
        </a:p>
      </xdr:txBody>
    </xdr:sp>
    <xdr:clientData/>
  </xdr:twoCellAnchor>
  <xdr:twoCellAnchor editAs="oneCell">
    <xdr:from>
      <xdr:col>5</xdr:col>
      <xdr:colOff>133350</xdr:colOff>
      <xdr:row>0</xdr:row>
      <xdr:rowOff>104775</xdr:rowOff>
    </xdr:from>
    <xdr:to>
      <xdr:col>7</xdr:col>
      <xdr:colOff>361950</xdr:colOff>
      <xdr:row>7</xdr:row>
      <xdr:rowOff>180975</xdr:rowOff>
    </xdr:to>
    <mc:AlternateContent xmlns:mc="http://schemas.openxmlformats.org/markup-compatibility/2006">
      <mc:Choice xmlns:a14="http://schemas.microsoft.com/office/drawing/2010/main" Requires="a14">
        <xdr:graphicFrame macro="">
          <xdr:nvGraphicFramePr>
            <xdr:cNvPr id="1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69444" y="104775"/>
              <a:ext cx="1443037"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104775</xdr:colOff>
      <xdr:row>7</xdr:row>
      <xdr:rowOff>180975</xdr:rowOff>
    </xdr:from>
    <xdr:to>
      <xdr:col>7</xdr:col>
      <xdr:colOff>390525</xdr:colOff>
      <xdr:row>12</xdr:row>
      <xdr:rowOff>171450</xdr:rowOff>
    </xdr:to>
    <mc:AlternateContent xmlns:mc="http://schemas.openxmlformats.org/markup-compatibility/2006">
      <mc:Choice xmlns:a14="http://schemas.microsoft.com/office/drawing/2010/main" Requires="a14">
        <xdr:graphicFrame macro="">
          <xdr:nvGraphicFramePr>
            <xdr:cNvPr id="1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40869" y="1514475"/>
              <a:ext cx="1500187"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371475</xdr:colOff>
      <xdr:row>0</xdr:row>
      <xdr:rowOff>95250</xdr:rowOff>
    </xdr:from>
    <xdr:to>
      <xdr:col>9</xdr:col>
      <xdr:colOff>66675</xdr:colOff>
      <xdr:row>7</xdr:row>
      <xdr:rowOff>9525</xdr:rowOff>
    </xdr:to>
    <mc:AlternateContent xmlns:mc="http://schemas.openxmlformats.org/markup-compatibility/2006">
      <mc:Choice xmlns:a14="http://schemas.microsoft.com/office/drawing/2010/main" Requires="a14">
        <xdr:graphicFrame macro="">
          <xdr:nvGraphicFramePr>
            <xdr:cNvPr id="1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622006" y="95250"/>
              <a:ext cx="909638"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408213</xdr:colOff>
      <xdr:row>5</xdr:row>
      <xdr:rowOff>0</xdr:rowOff>
    </xdr:from>
    <xdr:to>
      <xdr:col>9</xdr:col>
      <xdr:colOff>190499</xdr:colOff>
      <xdr:row>14</xdr:row>
      <xdr:rowOff>0</xdr:rowOff>
    </xdr:to>
    <mc:AlternateContent xmlns:mc="http://schemas.openxmlformats.org/markup-compatibility/2006">
      <mc:Choice xmlns:a14="http://schemas.microsoft.com/office/drawing/2010/main" Requires="a14">
        <xdr:graphicFrame macro="">
          <xdr:nvGraphicFramePr>
            <xdr:cNvPr id="21"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658744" y="952500"/>
              <a:ext cx="996724"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RONT OFFICE" refreshedDate="46024.794277546294" createdVersion="5" refreshedVersion="5" minRefreshableVersion="3" recordCount="15">
  <cacheSource type="worksheet">
    <worksheetSource name="Table1"/>
  </cacheSource>
  <cacheFields count="15">
    <cacheField name="Order_ID" numFmtId="0">
      <sharedItems containsSemiMixedTypes="0" containsString="0" containsNumber="1" containsInteger="1" minValue="1001" maxValue="1015"/>
    </cacheField>
    <cacheField name="Order_Date" numFmtId="14">
      <sharedItems containsSemiMixedTypes="0" containsNonDate="0" containsDate="1" containsString="0" minDate="2024-01-05T00:00:00" maxDate="2024-02-13T00:00:00"/>
    </cacheField>
    <cacheField name="Region" numFmtId="0">
      <sharedItems count="4">
        <s v="West"/>
        <s v="North"/>
        <s v="South"/>
        <s v="East"/>
      </sharedItems>
    </cacheField>
    <cacheField name="Sales_Rep" numFmtId="0">
      <sharedItems count="4">
        <s v="Ade"/>
        <s v="Chidi"/>
        <s v="Dami"/>
        <s v="Bola"/>
      </sharedItems>
    </cacheField>
    <cacheField name="Product" numFmtId="0">
      <sharedItems count="5">
        <s v="Printer"/>
        <s v="Desk"/>
        <s v="Chair"/>
        <s v="Monitor"/>
        <s v="Laptop"/>
      </sharedItems>
    </cacheField>
    <cacheField name="Category" numFmtId="0">
      <sharedItems count="2">
        <s v="Electronics"/>
        <s v="Furniture"/>
      </sharedItems>
    </cacheField>
    <cacheField name="Units_Sold" numFmtId="164">
      <sharedItems containsSemiMixedTypes="0" containsString="0" containsNumber="1" containsInteger="1" minValue="1" maxValue="12" count="9">
        <n v="3"/>
        <n v="5"/>
        <n v="10"/>
        <n v="4"/>
        <n v="2"/>
        <n v="1"/>
        <n v="8"/>
        <n v="6"/>
        <n v="12"/>
      </sharedItems>
    </cacheField>
    <cacheField name="Unit_Price" numFmtId="164">
      <sharedItems containsSemiMixedTypes="0" containsString="0" containsNumber="1" containsInteger="1" minValue="45" maxValue="800"/>
    </cacheField>
    <cacheField name="Revenue" numFmtId="164">
      <sharedItems containsSemiMixedTypes="0" containsString="0" containsNumber="1" containsInteger="1" minValue="300" maxValue="1600" count="9">
        <n v="450"/>
        <n v="600"/>
        <n v="800"/>
        <n v="300"/>
        <n v="360"/>
        <n v="1000"/>
        <n v="1600"/>
        <n v="720"/>
        <n v="540"/>
      </sharedItems>
    </cacheField>
    <cacheField name="Cost" numFmtId="164">
      <sharedItems containsSemiMixedTypes="0" containsString="0" containsNumber="1" containsInteger="1" minValue="200" maxValue="1300"/>
    </cacheField>
    <cacheField name="Profit" numFmtId="164">
      <sharedItems containsSemiMixedTypes="0" containsString="0" containsNumber="1" containsInteger="1" minValue="100" maxValue="300" count="10">
        <n v="150"/>
        <n v="151"/>
        <n v="200"/>
        <n v="100"/>
        <n v="110"/>
        <n v="120"/>
        <n v="250"/>
        <n v="180"/>
        <n v="300"/>
        <n v="240"/>
      </sharedItems>
    </cacheField>
    <cacheField name="MONTH" numFmtId="164">
      <sharedItems count="2">
        <s v="Sep"/>
        <s v="Oct"/>
      </sharedItems>
    </cacheField>
    <cacheField name="Column1" numFmtId="164">
      <sharedItems/>
    </cacheField>
    <cacheField name="Column2" numFmtId="164">
      <sharedItems containsSemiMixedTypes="0" containsString="0" containsNumber="1" containsInteger="1" minValue="2" maxValue="22" count="10">
        <n v="5"/>
        <n v="7"/>
        <n v="8"/>
        <n v="10"/>
        <n v="12"/>
        <n v="15"/>
        <n v="18"/>
        <n v="20"/>
        <n v="22"/>
        <n v="2"/>
      </sharedItems>
    </cacheField>
    <cacheField name="Column3" numFmtId="164">
      <sharedItems containsSemiMixedTypes="0" containsString="0" containsNumber="1" containsInteger="1" minValue="1" maxValue="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n v="1001"/>
    <d v="2024-01-05T00:00:00"/>
    <x v="0"/>
    <x v="0"/>
    <x v="0"/>
    <x v="0"/>
    <x v="0"/>
    <n v="150"/>
    <x v="0"/>
    <n v="300"/>
    <x v="0"/>
    <x v="0"/>
    <s v="2024"/>
    <x v="0"/>
    <n v="6"/>
  </r>
  <r>
    <n v="1001"/>
    <d v="2024-01-05T00:00:00"/>
    <x v="0"/>
    <x v="0"/>
    <x v="0"/>
    <x v="0"/>
    <x v="0"/>
    <n v="150"/>
    <x v="0"/>
    <n v="300"/>
    <x v="1"/>
    <x v="0"/>
    <s v="2024"/>
    <x v="0"/>
    <n v="6"/>
  </r>
  <r>
    <n v="1003"/>
    <d v="2024-01-07T00:00:00"/>
    <x v="1"/>
    <x v="1"/>
    <x v="1"/>
    <x v="1"/>
    <x v="1"/>
    <n v="120"/>
    <x v="1"/>
    <n v="400"/>
    <x v="2"/>
    <x v="0"/>
    <s v="2024"/>
    <x v="1"/>
    <n v="1"/>
  </r>
  <r>
    <n v="1004"/>
    <d v="2024-01-08T00:00:00"/>
    <x v="2"/>
    <x v="2"/>
    <x v="2"/>
    <x v="1"/>
    <x v="2"/>
    <n v="45"/>
    <x v="0"/>
    <n v="300"/>
    <x v="0"/>
    <x v="0"/>
    <s v="2024"/>
    <x v="2"/>
    <n v="2"/>
  </r>
  <r>
    <n v="1005"/>
    <d v="2024-01-10T00:00:00"/>
    <x v="0"/>
    <x v="0"/>
    <x v="3"/>
    <x v="0"/>
    <x v="3"/>
    <n v="200"/>
    <x v="2"/>
    <n v="600"/>
    <x v="2"/>
    <x v="1"/>
    <s v="2024"/>
    <x v="3"/>
    <n v="4"/>
  </r>
  <r>
    <n v="1006"/>
    <d v="2024-01-12T00:00:00"/>
    <x v="3"/>
    <x v="3"/>
    <x v="0"/>
    <x v="0"/>
    <x v="4"/>
    <n v="150"/>
    <x v="3"/>
    <n v="200"/>
    <x v="3"/>
    <x v="1"/>
    <s v="2024"/>
    <x v="4"/>
    <n v="6"/>
  </r>
  <r>
    <n v="1007"/>
    <d v="2024-01-15T00:00:00"/>
    <x v="1"/>
    <x v="1"/>
    <x v="4"/>
    <x v="0"/>
    <x v="5"/>
    <n v="800"/>
    <x v="2"/>
    <n v="650"/>
    <x v="0"/>
    <x v="1"/>
    <s v="2024"/>
    <x v="5"/>
    <n v="2"/>
  </r>
  <r>
    <n v="1008"/>
    <d v="2024-01-18T00:00:00"/>
    <x v="2"/>
    <x v="2"/>
    <x v="1"/>
    <x v="1"/>
    <x v="0"/>
    <n v="120"/>
    <x v="4"/>
    <n v="250"/>
    <x v="4"/>
    <x v="1"/>
    <s v="2024"/>
    <x v="6"/>
    <n v="5"/>
  </r>
  <r>
    <n v="1009"/>
    <d v="2024-01-20T00:00:00"/>
    <x v="0"/>
    <x v="0"/>
    <x v="2"/>
    <x v="1"/>
    <x v="6"/>
    <n v="45"/>
    <x v="4"/>
    <n v="240"/>
    <x v="5"/>
    <x v="1"/>
    <s v="2024"/>
    <x v="7"/>
    <n v="7"/>
  </r>
  <r>
    <n v="1010"/>
    <d v="2024-01-22T00:00:00"/>
    <x v="3"/>
    <x v="3"/>
    <x v="3"/>
    <x v="0"/>
    <x v="1"/>
    <n v="200"/>
    <x v="5"/>
    <n v="750"/>
    <x v="6"/>
    <x v="1"/>
    <s v="2024"/>
    <x v="8"/>
    <n v="2"/>
  </r>
  <r>
    <n v="1011"/>
    <d v="2024-02-02T00:00:00"/>
    <x v="1"/>
    <x v="1"/>
    <x v="0"/>
    <x v="0"/>
    <x v="3"/>
    <n v="150"/>
    <x v="1"/>
    <n v="420"/>
    <x v="7"/>
    <x v="1"/>
    <s v="2024"/>
    <x v="9"/>
    <n v="6"/>
  </r>
  <r>
    <n v="1012"/>
    <d v="2024-02-05T00:00:00"/>
    <x v="2"/>
    <x v="2"/>
    <x v="4"/>
    <x v="0"/>
    <x v="4"/>
    <n v="800"/>
    <x v="6"/>
    <n v="1300"/>
    <x v="8"/>
    <x v="1"/>
    <s v="2024"/>
    <x v="0"/>
    <n v="2"/>
  </r>
  <r>
    <n v="1013"/>
    <d v="2024-02-08T00:00:00"/>
    <x v="0"/>
    <x v="0"/>
    <x v="1"/>
    <x v="1"/>
    <x v="7"/>
    <n v="120"/>
    <x v="7"/>
    <n v="480"/>
    <x v="9"/>
    <x v="1"/>
    <s v="2024"/>
    <x v="2"/>
    <n v="5"/>
  </r>
  <r>
    <n v="1014"/>
    <d v="2024-02-10T00:00:00"/>
    <x v="3"/>
    <x v="3"/>
    <x v="2"/>
    <x v="1"/>
    <x v="8"/>
    <n v="45"/>
    <x v="8"/>
    <n v="360"/>
    <x v="7"/>
    <x v="1"/>
    <s v="2024"/>
    <x v="3"/>
    <n v="7"/>
  </r>
  <r>
    <n v="1015"/>
    <d v="2024-02-12T00:00:00"/>
    <x v="1"/>
    <x v="1"/>
    <x v="3"/>
    <x v="0"/>
    <x v="0"/>
    <n v="200"/>
    <x v="1"/>
    <n v="450"/>
    <x v="0"/>
    <x v="1"/>
    <s v="2024"/>
    <x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F5:G8" firstHeaderRow="1" firstDataRow="1" firstDataCol="1"/>
  <pivotFields count="15">
    <pivotField showAll="0"/>
    <pivotField numFmtId="14" showAll="0"/>
    <pivotField showAll="0">
      <items count="5">
        <item x="3"/>
        <item x="1"/>
        <item x="2"/>
        <item x="0"/>
        <item t="default"/>
      </items>
    </pivotField>
    <pivotField showAll="0"/>
    <pivotField showAll="0">
      <items count="6">
        <item x="2"/>
        <item x="1"/>
        <item x="4"/>
        <item x="3"/>
        <item x="0"/>
        <item t="default"/>
      </items>
    </pivotField>
    <pivotField axis="axisRow" showAll="0">
      <items count="3">
        <item x="0"/>
        <item x="1"/>
        <item t="default"/>
      </items>
    </pivotField>
    <pivotField dataField="1" numFmtId="164" showAll="0"/>
    <pivotField numFmtId="164" showAll="0"/>
    <pivotField numFmtId="164" showAll="0"/>
    <pivotField numFmtId="164" showAll="0"/>
    <pivotField numFmtId="164" showAll="0">
      <items count="11">
        <item x="3"/>
        <item x="4"/>
        <item x="5"/>
        <item x="0"/>
        <item x="1"/>
        <item x="7"/>
        <item x="2"/>
        <item x="9"/>
        <item x="6"/>
        <item x="8"/>
        <item t="default"/>
      </items>
    </pivotField>
    <pivotField showAll="0">
      <items count="3">
        <item x="0"/>
        <item x="1"/>
        <item t="default"/>
      </items>
    </pivotField>
    <pivotField showAll="0"/>
    <pivotField numFmtId="164" showAll="0"/>
    <pivotField numFmtId="164" showAll="0"/>
  </pivotFields>
  <rowFields count="1">
    <field x="5"/>
  </rowFields>
  <rowItems count="3">
    <i>
      <x/>
    </i>
    <i>
      <x v="1"/>
    </i>
    <i t="grand">
      <x/>
    </i>
  </rowItems>
  <colItems count="1">
    <i/>
  </colItems>
  <dataFields count="1">
    <dataField name="Sum of Units_Sold" fld="6" baseField="0" baseItem="0"/>
  </dataFields>
  <formats count="4">
    <format dxfId="146">
      <pivotArea outline="0" collapsedLevelsAreSubtotals="1" fieldPosition="0"/>
    </format>
    <format dxfId="53">
      <pivotArea collapsedLevelsAreSubtotals="1" fieldPosition="0">
        <references count="1">
          <reference field="5" count="1">
            <x v="0"/>
          </reference>
        </references>
      </pivotArea>
    </format>
    <format dxfId="52">
      <pivotArea collapsedLevelsAreSubtotals="1" fieldPosition="0">
        <references count="1">
          <reference field="5" count="1">
            <x v="1"/>
          </reference>
        </references>
      </pivotArea>
    </format>
    <format dxfId="51">
      <pivotArea grandRow="1"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5" count="1" selected="0">
            <x v="0"/>
          </reference>
        </references>
      </pivotArea>
    </chartFormat>
    <chartFormat chart="1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0:B35" firstHeaderRow="1" firstDataRow="1" firstDataCol="1"/>
  <pivotFields count="15">
    <pivotField showAll="0"/>
    <pivotField numFmtId="14" showAll="0"/>
    <pivotField showAll="0">
      <items count="5">
        <item x="3"/>
        <item x="1"/>
        <item x="2"/>
        <item x="0"/>
        <item t="default"/>
      </items>
    </pivotField>
    <pivotField axis="axisRow" showAll="0">
      <items count="5">
        <item x="0"/>
        <item x="3"/>
        <item x="1"/>
        <item x="2"/>
        <item t="default"/>
      </items>
    </pivotField>
    <pivotField showAll="0">
      <items count="6">
        <item x="2"/>
        <item x="1"/>
        <item x="4"/>
        <item x="3"/>
        <item x="0"/>
        <item t="default"/>
      </items>
    </pivotField>
    <pivotField showAll="0"/>
    <pivotField numFmtId="164" showAll="0"/>
    <pivotField numFmtId="164" showAll="0"/>
    <pivotField numFmtId="164" showAll="0">
      <items count="10">
        <item x="3"/>
        <item x="4"/>
        <item x="0"/>
        <item x="8"/>
        <item x="1"/>
        <item x="7"/>
        <item x="2"/>
        <item x="5"/>
        <item x="6"/>
        <item t="default"/>
      </items>
    </pivotField>
    <pivotField numFmtId="164" showAll="0"/>
    <pivotField dataField="1" numFmtId="164" showAll="0"/>
    <pivotField showAll="0">
      <items count="3">
        <item x="0"/>
        <item x="1"/>
        <item t="default"/>
      </items>
    </pivotField>
    <pivotField showAll="0"/>
    <pivotField numFmtId="164" showAll="0">
      <items count="11">
        <item x="9"/>
        <item x="0"/>
        <item x="1"/>
        <item x="2"/>
        <item x="3"/>
        <item x="4"/>
        <item x="5"/>
        <item x="6"/>
        <item x="7"/>
        <item x="8"/>
        <item t="default"/>
      </items>
    </pivotField>
    <pivotField numFmtId="164" showAll="0"/>
  </pivotFields>
  <rowFields count="1">
    <field x="3"/>
  </rowFields>
  <rowItems count="5">
    <i>
      <x/>
    </i>
    <i>
      <x v="1"/>
    </i>
    <i>
      <x v="2"/>
    </i>
    <i>
      <x v="3"/>
    </i>
    <i t="grand">
      <x/>
    </i>
  </rowItems>
  <colItems count="1">
    <i/>
  </colItems>
  <dataFields count="1">
    <dataField name="Sum of Profit" fld="10" baseField="0" baseItem="0"/>
  </dataFields>
  <formats count="1">
    <format dxfId="1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24:B27" firstHeaderRow="1" firstDataRow="1" firstDataCol="1"/>
  <pivotFields count="15">
    <pivotField showAll="0"/>
    <pivotField numFmtId="14" showAll="0"/>
    <pivotField showAll="0">
      <items count="5">
        <item x="3"/>
        <item x="1"/>
        <item x="2"/>
        <item x="0"/>
        <item t="default"/>
      </items>
    </pivotField>
    <pivotField showAll="0"/>
    <pivotField showAll="0">
      <items count="6">
        <item x="2"/>
        <item x="1"/>
        <item x="4"/>
        <item x="3"/>
        <item x="0"/>
        <item t="default"/>
      </items>
    </pivotField>
    <pivotField showAll="0"/>
    <pivotField numFmtId="164" showAll="0"/>
    <pivotField numFmtId="164" showAll="0"/>
    <pivotField dataField="1" numFmtId="164" showAll="0"/>
    <pivotField numFmtId="164" showAll="0"/>
    <pivotField numFmtId="164" showAll="0"/>
    <pivotField axis="axisRow" showAll="0">
      <items count="3">
        <item x="0"/>
        <item x="1"/>
        <item t="default"/>
      </items>
    </pivotField>
    <pivotField showAll="0"/>
    <pivotField numFmtId="164" showAll="0"/>
    <pivotField numFmtId="164" showAll="0"/>
  </pivotFields>
  <rowFields count="1">
    <field x="11"/>
  </rowFields>
  <rowItems count="3">
    <i>
      <x/>
    </i>
    <i>
      <x v="1"/>
    </i>
    <i t="grand">
      <x/>
    </i>
  </rowItems>
  <colItems count="1">
    <i/>
  </colItems>
  <dataFields count="1">
    <dataField name="Sum of Revenue" fld="8" baseField="0" baseItem="0"/>
  </dataFields>
  <formats count="1">
    <format dxfId="14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14:B20" firstHeaderRow="1" firstDataRow="1" firstDataCol="1"/>
  <pivotFields count="15">
    <pivotField showAll="0"/>
    <pivotField numFmtId="14" showAll="0"/>
    <pivotField showAll="0">
      <items count="5">
        <item x="3"/>
        <item x="1"/>
        <item x="2"/>
        <item x="0"/>
        <item t="default"/>
      </items>
    </pivotField>
    <pivotField showAll="0"/>
    <pivotField axis="axisRow" showAll="0">
      <items count="6">
        <item x="2"/>
        <item x="1"/>
        <item x="4"/>
        <item x="3"/>
        <item x="0"/>
        <item t="default"/>
      </items>
    </pivotField>
    <pivotField showAll="0"/>
    <pivotField numFmtId="164" showAll="0"/>
    <pivotField numFmtId="164" showAll="0"/>
    <pivotField numFmtId="164" showAll="0"/>
    <pivotField numFmtId="164" showAll="0"/>
    <pivotField dataField="1" numFmtId="164" showAll="0"/>
    <pivotField showAll="0">
      <items count="3">
        <item x="0"/>
        <item x="1"/>
        <item t="default"/>
      </items>
    </pivotField>
    <pivotField showAll="0"/>
    <pivotField numFmtId="164" showAll="0"/>
    <pivotField numFmtId="164" showAll="0"/>
  </pivotFields>
  <rowFields count="1">
    <field x="4"/>
  </rowFields>
  <rowItems count="6">
    <i>
      <x/>
    </i>
    <i>
      <x v="1"/>
    </i>
    <i>
      <x v="2"/>
    </i>
    <i>
      <x v="3"/>
    </i>
    <i>
      <x v="4"/>
    </i>
    <i t="grand">
      <x/>
    </i>
  </rowItems>
  <colItems count="1">
    <i/>
  </colItems>
  <dataFields count="1">
    <dataField name="Sum of Profit" fld="10" baseField="0" baseItem="0"/>
  </dataFields>
  <formats count="1">
    <format dxfId="156">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15">
    <pivotField showAll="0"/>
    <pivotField numFmtId="14" showAll="0"/>
    <pivotField axis="axisRow" showAll="0">
      <items count="5">
        <item x="3"/>
        <item x="1"/>
        <item x="2"/>
        <item x="0"/>
        <item t="default"/>
      </items>
    </pivotField>
    <pivotField showAll="0"/>
    <pivotField showAll="0"/>
    <pivotField showAll="0"/>
    <pivotField numFmtId="164" showAll="0"/>
    <pivotField numFmtId="164" showAll="0"/>
    <pivotField dataField="1" numFmtId="164" showAll="0"/>
    <pivotField numFmtId="164" showAll="0"/>
    <pivotField numFmtId="164" showAll="0"/>
    <pivotField showAll="0">
      <items count="3">
        <item x="0"/>
        <item x="1"/>
        <item t="default"/>
      </items>
    </pivotField>
    <pivotField showAll="0"/>
    <pivotField numFmtId="164" showAll="0"/>
    <pivotField numFmtId="164" showAll="0"/>
  </pivotFields>
  <rowFields count="1">
    <field x="2"/>
  </rowFields>
  <rowItems count="5">
    <i>
      <x/>
    </i>
    <i>
      <x v="1"/>
    </i>
    <i>
      <x v="2"/>
    </i>
    <i>
      <x v="3"/>
    </i>
    <i t="grand">
      <x/>
    </i>
  </rowItems>
  <colItems count="1">
    <i/>
  </colItems>
  <dataFields count="1">
    <dataField name="Sum of Revenue" fld="8" baseField="0" baseItem="0" numFmtId="164"/>
  </dataFields>
  <formats count="1">
    <format dxfId="15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3"/>
    <pivotTable tabId="6" name="PivotTable1"/>
    <pivotTable tabId="6" name="PivotTable2"/>
    <pivotTable tabId="6" name="PivotTable5"/>
    <pivotTable tabId="6" name="PivotTable6"/>
  </pivotTables>
  <data>
    <tabular pivotCacheId="1">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3"/>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6" name="PivotTable3"/>
    <pivotTable tabId="6" name="PivotTable1"/>
    <pivotTable tabId="6" name="PivotTable2"/>
    <pivotTable tabId="6" name="PivotTable5"/>
    <pivotTable tabId="6" name="PivotTable6"/>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3"/>
  </pivotTables>
  <data>
    <tabular pivotCacheId="1">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2" rowHeight="241300"/>
  <slicer name="Category" cache="Slicer_Category" caption="Category" style="SlicerStyleLight2" rowHeight="241300"/>
  <slicer name="MONTH" cache="Slicer_MONTH" caption="MONTH" style="SlicerStyleLight2" rowHeight="241300"/>
  <slicer name="Product" cache="Slicer_Product" caption="Product" style="SlicerStyleLight2" rowHeight="241300"/>
</slicers>
</file>

<file path=xl/tables/table1.xml><?xml version="1.0" encoding="utf-8"?>
<table xmlns="http://schemas.openxmlformats.org/spreadsheetml/2006/main" id="1" name="Table1" displayName="Table1" ref="A1:L17" totalsRowCount="1">
  <autoFilter ref="A1:L17"/>
  <tableColumns count="12">
    <tableColumn id="1" name="Order_ID"/>
    <tableColumn id="2" name="Order_Date" dataDxfId="155" totalsRowDxfId="6"/>
    <tableColumn id="3" name="Region"/>
    <tableColumn id="4" name="Sales_Rep"/>
    <tableColumn id="5" name="Product"/>
    <tableColumn id="6" name="Category"/>
    <tableColumn id="7" name="Units_Sold" dataDxfId="154" totalsRowDxfId="5"/>
    <tableColumn id="8" name="Unit_Price" dataDxfId="153" totalsRowDxfId="4"/>
    <tableColumn id="9" name="Revenue" dataDxfId="152" totalsRowDxfId="3"/>
    <tableColumn id="10" name="Cost" dataDxfId="151" totalsRowDxfId="2"/>
    <tableColumn id="11" name="Profit" dataDxfId="150" totalsRowDxfId="1"/>
    <tableColumn id="14" name="MONTH" dataDxfId="149" totalsRowDxfId="0">
      <calculatedColumnFormula>TEXT(A2,"mmm")</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5"/>
  <sheetViews>
    <sheetView showGridLines="0" showRowColHeaders="0" tabSelected="1" workbookViewId="0">
      <selection activeCell="E31" sqref="E31"/>
    </sheetView>
  </sheetViews>
  <sheetFormatPr defaultRowHeight="15" x14ac:dyDescent="0.25"/>
  <cols>
    <col min="1" max="1" width="13.140625" customWidth="1"/>
    <col min="2" max="2" width="12.5703125" customWidth="1"/>
    <col min="6" max="6" width="13.140625" customWidth="1"/>
    <col min="7" max="7" width="17.42578125" bestFit="1" customWidth="1"/>
  </cols>
  <sheetData>
    <row r="3" spans="1:7" x14ac:dyDescent="0.25">
      <c r="A3" s="3" t="s">
        <v>27</v>
      </c>
      <c r="B3" t="s">
        <v>26</v>
      </c>
    </row>
    <row r="4" spans="1:7" x14ac:dyDescent="0.25">
      <c r="A4" s="4" t="s">
        <v>23</v>
      </c>
      <c r="B4" s="2">
        <v>1840</v>
      </c>
    </row>
    <row r="5" spans="1:7" x14ac:dyDescent="0.25">
      <c r="A5" s="4" t="s">
        <v>15</v>
      </c>
      <c r="B5" s="2">
        <v>2600</v>
      </c>
      <c r="F5" s="3" t="s">
        <v>27</v>
      </c>
      <c r="G5" t="s">
        <v>33</v>
      </c>
    </row>
    <row r="6" spans="1:7" x14ac:dyDescent="0.25">
      <c r="A6" s="4" t="s">
        <v>19</v>
      </c>
      <c r="B6" s="2">
        <v>2410</v>
      </c>
      <c r="F6" s="4" t="s">
        <v>14</v>
      </c>
      <c r="G6" s="5">
        <v>27</v>
      </c>
    </row>
    <row r="7" spans="1:7" x14ac:dyDescent="0.25">
      <c r="A7" s="4" t="s">
        <v>11</v>
      </c>
      <c r="B7" s="2">
        <v>2780</v>
      </c>
      <c r="F7" s="4" t="s">
        <v>18</v>
      </c>
      <c r="G7" s="5">
        <v>44</v>
      </c>
    </row>
    <row r="8" spans="1:7" x14ac:dyDescent="0.25">
      <c r="A8" s="4" t="s">
        <v>28</v>
      </c>
      <c r="B8" s="2">
        <v>9630</v>
      </c>
      <c r="F8" s="4" t="s">
        <v>28</v>
      </c>
      <c r="G8" s="5">
        <v>71</v>
      </c>
    </row>
    <row r="14" spans="1:7" x14ac:dyDescent="0.25">
      <c r="A14" s="3" t="s">
        <v>27</v>
      </c>
      <c r="B14" t="s">
        <v>29</v>
      </c>
    </row>
    <row r="15" spans="1:7" x14ac:dyDescent="0.25">
      <c r="A15" s="4" t="s">
        <v>21</v>
      </c>
      <c r="B15" s="2">
        <v>450</v>
      </c>
    </row>
    <row r="16" spans="1:7" x14ac:dyDescent="0.25">
      <c r="A16" s="4" t="s">
        <v>17</v>
      </c>
      <c r="B16" s="2">
        <v>550</v>
      </c>
    </row>
    <row r="17" spans="1:2" x14ac:dyDescent="0.25">
      <c r="A17" s="4" t="s">
        <v>25</v>
      </c>
      <c r="B17" s="2">
        <v>450</v>
      </c>
    </row>
    <row r="18" spans="1:2" x14ac:dyDescent="0.25">
      <c r="A18" s="4" t="s">
        <v>22</v>
      </c>
      <c r="B18" s="2">
        <v>600</v>
      </c>
    </row>
    <row r="19" spans="1:2" x14ac:dyDescent="0.25">
      <c r="A19" s="4" t="s">
        <v>13</v>
      </c>
      <c r="B19" s="2">
        <v>581</v>
      </c>
    </row>
    <row r="20" spans="1:2" x14ac:dyDescent="0.25">
      <c r="A20" s="4" t="s">
        <v>28</v>
      </c>
      <c r="B20" s="2">
        <v>2631</v>
      </c>
    </row>
    <row r="24" spans="1:2" x14ac:dyDescent="0.25">
      <c r="A24" s="3" t="s">
        <v>27</v>
      </c>
      <c r="B24" t="s">
        <v>26</v>
      </c>
    </row>
    <row r="25" spans="1:2" x14ac:dyDescent="0.25">
      <c r="A25" s="4" t="s">
        <v>31</v>
      </c>
      <c r="B25" s="2">
        <v>1950</v>
      </c>
    </row>
    <row r="26" spans="1:2" x14ac:dyDescent="0.25">
      <c r="A26" s="4" t="s">
        <v>32</v>
      </c>
      <c r="B26" s="2">
        <v>7680</v>
      </c>
    </row>
    <row r="27" spans="1:2" x14ac:dyDescent="0.25">
      <c r="A27" s="4" t="s">
        <v>28</v>
      </c>
      <c r="B27" s="2">
        <v>9630</v>
      </c>
    </row>
    <row r="30" spans="1:2" x14ac:dyDescent="0.25">
      <c r="A30" s="3" t="s">
        <v>27</v>
      </c>
      <c r="B30" t="s">
        <v>29</v>
      </c>
    </row>
    <row r="31" spans="1:2" x14ac:dyDescent="0.25">
      <c r="A31" s="4" t="s">
        <v>12</v>
      </c>
      <c r="B31" s="2">
        <v>861</v>
      </c>
    </row>
    <row r="32" spans="1:2" x14ac:dyDescent="0.25">
      <c r="A32" s="4" t="s">
        <v>24</v>
      </c>
      <c r="B32" s="2">
        <v>530</v>
      </c>
    </row>
    <row r="33" spans="1:2" x14ac:dyDescent="0.25">
      <c r="A33" s="4" t="s">
        <v>16</v>
      </c>
      <c r="B33" s="2">
        <v>680</v>
      </c>
    </row>
    <row r="34" spans="1:2" x14ac:dyDescent="0.25">
      <c r="A34" s="4" t="s">
        <v>20</v>
      </c>
      <c r="B34" s="2">
        <v>560</v>
      </c>
    </row>
    <row r="35" spans="1:2" x14ac:dyDescent="0.25">
      <c r="A35" s="4" t="s">
        <v>28</v>
      </c>
      <c r="B35" s="2">
        <v>2631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80" zoomScaleNormal="80" workbookViewId="0">
      <selection activeCell="S15" sqref="S1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I21" sqref="I21"/>
    </sheetView>
  </sheetViews>
  <sheetFormatPr defaultRowHeight="15" x14ac:dyDescent="0.25"/>
  <cols>
    <col min="1" max="1" width="11.140625" customWidth="1"/>
    <col min="2" max="2" width="13.42578125" customWidth="1"/>
    <col min="3" max="3" width="9.28515625" customWidth="1"/>
    <col min="4" max="4" width="12.28515625" customWidth="1"/>
    <col min="5" max="5" width="10" customWidth="1"/>
    <col min="6" max="6" width="11" customWidth="1"/>
    <col min="7" max="7" width="12.5703125" customWidth="1"/>
    <col min="8" max="8" width="12.28515625" customWidth="1"/>
    <col min="9" max="9" width="11" customWidth="1"/>
  </cols>
  <sheetData>
    <row r="1" spans="1:12" x14ac:dyDescent="0.25">
      <c r="A1" t="s">
        <v>0</v>
      </c>
      <c r="B1" s="1" t="s">
        <v>1</v>
      </c>
      <c r="C1" t="s">
        <v>2</v>
      </c>
      <c r="D1" t="s">
        <v>3</v>
      </c>
      <c r="E1" t="s">
        <v>4</v>
      </c>
      <c r="F1" t="s">
        <v>5</v>
      </c>
      <c r="G1" s="2" t="s">
        <v>6</v>
      </c>
      <c r="H1" s="2" t="s">
        <v>7</v>
      </c>
      <c r="I1" s="2" t="s">
        <v>8</v>
      </c>
      <c r="J1" s="2" t="s">
        <v>9</v>
      </c>
      <c r="K1" s="2" t="s">
        <v>10</v>
      </c>
      <c r="L1" t="s">
        <v>30</v>
      </c>
    </row>
    <row r="2" spans="1:12" x14ac:dyDescent="0.25">
      <c r="A2">
        <v>1001</v>
      </c>
      <c r="B2" s="1">
        <v>45296</v>
      </c>
      <c r="C2" t="s">
        <v>11</v>
      </c>
      <c r="D2" t="s">
        <v>12</v>
      </c>
      <c r="E2" t="s">
        <v>13</v>
      </c>
      <c r="F2" t="s">
        <v>14</v>
      </c>
      <c r="G2" s="2">
        <v>3</v>
      </c>
      <c r="H2" s="2">
        <v>150</v>
      </c>
      <c r="I2" s="2">
        <v>450</v>
      </c>
      <c r="J2" s="2">
        <v>300</v>
      </c>
      <c r="K2" s="2">
        <v>150</v>
      </c>
      <c r="L2" s="2" t="str">
        <f t="shared" ref="L2:L16" si="0">TEXT(A2,"mmm")</f>
        <v>Sep</v>
      </c>
    </row>
    <row r="3" spans="1:12" x14ac:dyDescent="0.25">
      <c r="A3">
        <v>1001</v>
      </c>
      <c r="B3" s="1">
        <v>45296</v>
      </c>
      <c r="C3" t="s">
        <v>11</v>
      </c>
      <c r="D3" t="s">
        <v>12</v>
      </c>
      <c r="E3" t="s">
        <v>13</v>
      </c>
      <c r="F3" t="s">
        <v>14</v>
      </c>
      <c r="G3" s="2">
        <v>3</v>
      </c>
      <c r="H3" s="2">
        <v>150</v>
      </c>
      <c r="I3" s="2">
        <v>450</v>
      </c>
      <c r="J3" s="2">
        <v>300</v>
      </c>
      <c r="K3" s="2">
        <v>151</v>
      </c>
      <c r="L3" s="2" t="str">
        <f t="shared" si="0"/>
        <v>Sep</v>
      </c>
    </row>
    <row r="4" spans="1:12" x14ac:dyDescent="0.25">
      <c r="A4">
        <v>1003</v>
      </c>
      <c r="B4" s="1">
        <v>45298</v>
      </c>
      <c r="C4" t="s">
        <v>15</v>
      </c>
      <c r="D4" t="s">
        <v>16</v>
      </c>
      <c r="E4" t="s">
        <v>17</v>
      </c>
      <c r="F4" t="s">
        <v>18</v>
      </c>
      <c r="G4" s="2">
        <v>5</v>
      </c>
      <c r="H4" s="2">
        <v>120</v>
      </c>
      <c r="I4" s="2">
        <v>600</v>
      </c>
      <c r="J4" s="2">
        <v>400</v>
      </c>
      <c r="K4" s="2">
        <v>200</v>
      </c>
      <c r="L4" s="2" t="str">
        <f t="shared" si="0"/>
        <v>Sep</v>
      </c>
    </row>
    <row r="5" spans="1:12" x14ac:dyDescent="0.25">
      <c r="A5">
        <v>1004</v>
      </c>
      <c r="B5" s="1">
        <v>45299</v>
      </c>
      <c r="C5" t="s">
        <v>19</v>
      </c>
      <c r="D5" t="s">
        <v>20</v>
      </c>
      <c r="E5" t="s">
        <v>21</v>
      </c>
      <c r="F5" t="s">
        <v>18</v>
      </c>
      <c r="G5" s="2">
        <v>10</v>
      </c>
      <c r="H5" s="2">
        <v>45</v>
      </c>
      <c r="I5" s="2">
        <v>450</v>
      </c>
      <c r="J5" s="2">
        <v>300</v>
      </c>
      <c r="K5" s="2">
        <v>150</v>
      </c>
      <c r="L5" s="2" t="str">
        <f t="shared" si="0"/>
        <v>Sep</v>
      </c>
    </row>
    <row r="6" spans="1:12" x14ac:dyDescent="0.25">
      <c r="A6">
        <v>1005</v>
      </c>
      <c r="B6" s="1">
        <v>45301</v>
      </c>
      <c r="C6" t="s">
        <v>11</v>
      </c>
      <c r="D6" t="s">
        <v>12</v>
      </c>
      <c r="E6" t="s">
        <v>22</v>
      </c>
      <c r="F6" t="s">
        <v>14</v>
      </c>
      <c r="G6" s="2">
        <v>4</v>
      </c>
      <c r="H6" s="2">
        <v>200</v>
      </c>
      <c r="I6" s="2">
        <v>800</v>
      </c>
      <c r="J6" s="2">
        <v>600</v>
      </c>
      <c r="K6" s="2">
        <v>200</v>
      </c>
      <c r="L6" s="2" t="str">
        <f t="shared" si="0"/>
        <v>Oct</v>
      </c>
    </row>
    <row r="7" spans="1:12" x14ac:dyDescent="0.25">
      <c r="A7">
        <v>1006</v>
      </c>
      <c r="B7" s="1">
        <v>45303</v>
      </c>
      <c r="C7" t="s">
        <v>23</v>
      </c>
      <c r="D7" t="s">
        <v>24</v>
      </c>
      <c r="E7" t="s">
        <v>13</v>
      </c>
      <c r="F7" t="s">
        <v>14</v>
      </c>
      <c r="G7" s="2">
        <v>2</v>
      </c>
      <c r="H7" s="2">
        <v>150</v>
      </c>
      <c r="I7" s="2">
        <v>300</v>
      </c>
      <c r="J7" s="2">
        <v>200</v>
      </c>
      <c r="K7" s="2">
        <v>100</v>
      </c>
      <c r="L7" s="2" t="str">
        <f t="shared" si="0"/>
        <v>Oct</v>
      </c>
    </row>
    <row r="8" spans="1:12" x14ac:dyDescent="0.25">
      <c r="A8">
        <v>1007</v>
      </c>
      <c r="B8" s="1">
        <v>45306</v>
      </c>
      <c r="C8" t="s">
        <v>15</v>
      </c>
      <c r="D8" t="s">
        <v>16</v>
      </c>
      <c r="E8" t="s">
        <v>25</v>
      </c>
      <c r="F8" t="s">
        <v>14</v>
      </c>
      <c r="G8" s="2">
        <v>1</v>
      </c>
      <c r="H8" s="2">
        <v>800</v>
      </c>
      <c r="I8" s="2">
        <v>800</v>
      </c>
      <c r="J8" s="2">
        <v>650</v>
      </c>
      <c r="K8" s="2">
        <v>150</v>
      </c>
      <c r="L8" s="2" t="str">
        <f t="shared" si="0"/>
        <v>Oct</v>
      </c>
    </row>
    <row r="9" spans="1:12" x14ac:dyDescent="0.25">
      <c r="A9">
        <v>1008</v>
      </c>
      <c r="B9" s="1">
        <v>45309</v>
      </c>
      <c r="C9" t="s">
        <v>19</v>
      </c>
      <c r="D9" t="s">
        <v>20</v>
      </c>
      <c r="E9" t="s">
        <v>17</v>
      </c>
      <c r="F9" t="s">
        <v>18</v>
      </c>
      <c r="G9" s="2">
        <v>3</v>
      </c>
      <c r="H9" s="2">
        <v>120</v>
      </c>
      <c r="I9" s="2">
        <v>360</v>
      </c>
      <c r="J9" s="2">
        <v>250</v>
      </c>
      <c r="K9" s="2">
        <v>110</v>
      </c>
      <c r="L9" s="2" t="str">
        <f t="shared" si="0"/>
        <v>Oct</v>
      </c>
    </row>
    <row r="10" spans="1:12" x14ac:dyDescent="0.25">
      <c r="A10">
        <v>1009</v>
      </c>
      <c r="B10" s="1">
        <v>45311</v>
      </c>
      <c r="C10" t="s">
        <v>11</v>
      </c>
      <c r="D10" t="s">
        <v>12</v>
      </c>
      <c r="E10" t="s">
        <v>21</v>
      </c>
      <c r="F10" t="s">
        <v>18</v>
      </c>
      <c r="G10" s="2">
        <v>8</v>
      </c>
      <c r="H10" s="2">
        <v>45</v>
      </c>
      <c r="I10" s="2">
        <v>360</v>
      </c>
      <c r="J10" s="2">
        <v>240</v>
      </c>
      <c r="K10" s="2">
        <v>120</v>
      </c>
      <c r="L10" s="2" t="str">
        <f t="shared" si="0"/>
        <v>Oct</v>
      </c>
    </row>
    <row r="11" spans="1:12" x14ac:dyDescent="0.25">
      <c r="A11">
        <v>1010</v>
      </c>
      <c r="B11" s="1">
        <v>45313</v>
      </c>
      <c r="C11" t="s">
        <v>23</v>
      </c>
      <c r="D11" t="s">
        <v>24</v>
      </c>
      <c r="E11" t="s">
        <v>22</v>
      </c>
      <c r="F11" t="s">
        <v>14</v>
      </c>
      <c r="G11" s="2">
        <v>5</v>
      </c>
      <c r="H11" s="2">
        <v>200</v>
      </c>
      <c r="I11" s="2">
        <v>1000</v>
      </c>
      <c r="J11" s="2">
        <v>750</v>
      </c>
      <c r="K11" s="2">
        <v>250</v>
      </c>
      <c r="L11" s="2" t="str">
        <f t="shared" si="0"/>
        <v>Oct</v>
      </c>
    </row>
    <row r="12" spans="1:12" x14ac:dyDescent="0.25">
      <c r="A12">
        <v>1011</v>
      </c>
      <c r="B12" s="1">
        <v>45324</v>
      </c>
      <c r="C12" t="s">
        <v>15</v>
      </c>
      <c r="D12" t="s">
        <v>16</v>
      </c>
      <c r="E12" t="s">
        <v>13</v>
      </c>
      <c r="F12" t="s">
        <v>14</v>
      </c>
      <c r="G12" s="2">
        <v>4</v>
      </c>
      <c r="H12" s="2">
        <v>150</v>
      </c>
      <c r="I12" s="2">
        <v>600</v>
      </c>
      <c r="J12" s="2">
        <v>420</v>
      </c>
      <c r="K12" s="2">
        <v>180</v>
      </c>
      <c r="L12" s="2" t="str">
        <f t="shared" si="0"/>
        <v>Oct</v>
      </c>
    </row>
    <row r="13" spans="1:12" x14ac:dyDescent="0.25">
      <c r="A13">
        <v>1012</v>
      </c>
      <c r="B13" s="1">
        <v>45327</v>
      </c>
      <c r="C13" t="s">
        <v>19</v>
      </c>
      <c r="D13" t="s">
        <v>20</v>
      </c>
      <c r="E13" t="s">
        <v>25</v>
      </c>
      <c r="F13" t="s">
        <v>14</v>
      </c>
      <c r="G13" s="2">
        <v>2</v>
      </c>
      <c r="H13" s="2">
        <v>800</v>
      </c>
      <c r="I13" s="2">
        <v>1600</v>
      </c>
      <c r="J13" s="2">
        <v>1300</v>
      </c>
      <c r="K13" s="2">
        <v>300</v>
      </c>
      <c r="L13" s="2" t="str">
        <f t="shared" si="0"/>
        <v>Oct</v>
      </c>
    </row>
    <row r="14" spans="1:12" x14ac:dyDescent="0.25">
      <c r="A14">
        <v>1013</v>
      </c>
      <c r="B14" s="1">
        <v>45330</v>
      </c>
      <c r="C14" t="s">
        <v>11</v>
      </c>
      <c r="D14" t="s">
        <v>12</v>
      </c>
      <c r="E14" t="s">
        <v>17</v>
      </c>
      <c r="F14" t="s">
        <v>18</v>
      </c>
      <c r="G14" s="2">
        <v>6</v>
      </c>
      <c r="H14" s="2">
        <v>120</v>
      </c>
      <c r="I14" s="2">
        <v>720</v>
      </c>
      <c r="J14" s="2">
        <v>480</v>
      </c>
      <c r="K14" s="2">
        <v>240</v>
      </c>
      <c r="L14" s="2" t="str">
        <f t="shared" si="0"/>
        <v>Oct</v>
      </c>
    </row>
    <row r="15" spans="1:12" x14ac:dyDescent="0.25">
      <c r="A15">
        <v>1014</v>
      </c>
      <c r="B15" s="1">
        <v>45332</v>
      </c>
      <c r="C15" t="s">
        <v>23</v>
      </c>
      <c r="D15" t="s">
        <v>24</v>
      </c>
      <c r="E15" t="s">
        <v>21</v>
      </c>
      <c r="F15" t="s">
        <v>18</v>
      </c>
      <c r="G15" s="2">
        <v>12</v>
      </c>
      <c r="H15" s="2">
        <v>45</v>
      </c>
      <c r="I15" s="2">
        <v>540</v>
      </c>
      <c r="J15" s="2">
        <v>360</v>
      </c>
      <c r="K15" s="2">
        <v>180</v>
      </c>
      <c r="L15" s="2" t="str">
        <f t="shared" si="0"/>
        <v>Oct</v>
      </c>
    </row>
    <row r="16" spans="1:12" x14ac:dyDescent="0.25">
      <c r="A16">
        <v>1015</v>
      </c>
      <c r="B16" s="1">
        <v>45334</v>
      </c>
      <c r="C16" t="s">
        <v>15</v>
      </c>
      <c r="D16" t="s">
        <v>16</v>
      </c>
      <c r="E16" t="s">
        <v>22</v>
      </c>
      <c r="F16" t="s">
        <v>14</v>
      </c>
      <c r="G16" s="2">
        <v>3</v>
      </c>
      <c r="H16" s="2">
        <v>200</v>
      </c>
      <c r="I16" s="2">
        <v>600</v>
      </c>
      <c r="J16" s="2">
        <v>450</v>
      </c>
      <c r="K16" s="2">
        <v>150</v>
      </c>
      <c r="L16" s="2" t="str">
        <f t="shared" si="0"/>
        <v>Oct</v>
      </c>
    </row>
    <row r="17" spans="2:12" x14ac:dyDescent="0.25">
      <c r="B17" s="1"/>
      <c r="G17" s="2"/>
      <c r="H17" s="2"/>
      <c r="I17" s="2"/>
      <c r="J17" s="2"/>
      <c r="K17" s="2"/>
      <c r="L17" s="2"/>
    </row>
    <row r="18" spans="2:12" x14ac:dyDescent="0.25">
      <c r="I18"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DATASET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FRONT OFFICE</dc:creator>
  <cp:lastModifiedBy>FRONT OFFICE</cp:lastModifiedBy>
  <dcterms:created xsi:type="dcterms:W3CDTF">2026-01-02T17:30:00Z</dcterms:created>
  <dcterms:modified xsi:type="dcterms:W3CDTF">2026-01-03T19:17:05Z</dcterms:modified>
</cp:coreProperties>
</file>